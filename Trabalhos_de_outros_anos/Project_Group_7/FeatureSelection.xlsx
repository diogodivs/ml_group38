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Workspace\2023-01 Machine Learning\Project_Group_7\"/>
    </mc:Choice>
  </mc:AlternateContent>
  <xr:revisionPtr revIDLastSave="0" documentId="13_ncr:1_{FB2AFD59-6D21-435C-8621-99138BC4AAA8}" xr6:coauthVersionLast="47" xr6:coauthVersionMax="47" xr10:uidLastSave="{00000000-0000-0000-0000-000000000000}"/>
  <bookViews>
    <workbookView xWindow="-120" yWindow="-120" windowWidth="38640" windowHeight="21840" xr2:uid="{98736F36-7DEE-CD4F-A095-70FD22248826}"/>
  </bookViews>
  <sheets>
    <sheet name="FS" sheetId="1" r:id="rId1"/>
    <sheet name="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I20" i="1" s="1"/>
  <c r="H19" i="1"/>
  <c r="H18" i="1"/>
  <c r="H17" i="1"/>
  <c r="H16" i="1"/>
  <c r="I16" i="1" s="1"/>
  <c r="H15" i="1"/>
  <c r="I15" i="1" s="1"/>
  <c r="H14" i="1"/>
  <c r="I14" i="1" s="1"/>
  <c r="H13" i="1"/>
  <c r="I13" i="1" s="1"/>
  <c r="H12" i="1"/>
  <c r="I12" i="1" s="1"/>
  <c r="H11" i="1"/>
  <c r="H10" i="1"/>
  <c r="I10" i="1" s="1"/>
  <c r="H9" i="1"/>
  <c r="I9" i="1" s="1"/>
  <c r="H8" i="1"/>
  <c r="H7" i="1"/>
  <c r="H6" i="1"/>
  <c r="H5" i="1"/>
  <c r="H4" i="1"/>
  <c r="H3" i="1"/>
  <c r="I17" i="1"/>
  <c r="I18" i="1"/>
  <c r="I21" i="1"/>
  <c r="I22" i="1"/>
  <c r="I4" i="1"/>
  <c r="I11" i="1"/>
  <c r="H2" i="1"/>
  <c r="G24" i="1"/>
  <c r="I24" i="1" s="1"/>
  <c r="I23" i="1"/>
  <c r="I19" i="1"/>
  <c r="I8" i="1"/>
  <c r="I7" i="1"/>
  <c r="I6" i="1"/>
  <c r="I5" i="1"/>
  <c r="I3" i="1"/>
  <c r="I2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18" i="2"/>
  <c r="G24" i="2"/>
  <c r="H24" i="2" s="1"/>
  <c r="G23" i="2"/>
  <c r="H23" i="2" s="1"/>
  <c r="I23" i="2" s="1"/>
  <c r="G22" i="2"/>
  <c r="H22" i="2" s="1"/>
  <c r="G21" i="2"/>
  <c r="G20" i="2"/>
  <c r="H20" i="2" s="1"/>
  <c r="G19" i="2"/>
  <c r="H19" i="2" s="1"/>
  <c r="G18" i="2"/>
  <c r="G17" i="2"/>
  <c r="G16" i="2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G8" i="2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I6" i="2" l="1"/>
  <c r="H9" i="2"/>
  <c r="I9" i="2" s="1"/>
  <c r="H21" i="2"/>
  <c r="I21" i="2" s="1"/>
  <c r="H17" i="2"/>
  <c r="I17" i="2" s="1"/>
  <c r="I5" i="2"/>
  <c r="I22" i="2"/>
  <c r="I14" i="2"/>
  <c r="H16" i="2"/>
  <c r="I16" i="2" s="1"/>
  <c r="I7" i="2"/>
  <c r="I24" i="2"/>
  <c r="H8" i="2"/>
  <c r="I8" i="2" s="1"/>
  <c r="I15" i="2"/>
  <c r="I18" i="2"/>
  <c r="I3" i="2"/>
  <c r="I19" i="2"/>
  <c r="I4" i="2"/>
  <c r="I20" i="2"/>
  <c r="I10" i="2"/>
  <c r="I11" i="2"/>
  <c r="I12" i="2"/>
  <c r="I13" i="2"/>
  <c r="I2" i="2"/>
</calcChain>
</file>

<file path=xl/sharedStrings.xml><?xml version="1.0" encoding="utf-8"?>
<sst xmlns="http://schemas.openxmlformats.org/spreadsheetml/2006/main" count="294" uniqueCount="34">
  <si>
    <t>Variable</t>
  </si>
  <si>
    <t>Lasso</t>
  </si>
  <si>
    <t>True</t>
  </si>
  <si>
    <t>False</t>
  </si>
  <si>
    <t>Random Forests</t>
  </si>
  <si>
    <t>%True</t>
  </si>
  <si>
    <t>Decision</t>
  </si>
  <si>
    <t>Nº True</t>
  </si>
  <si>
    <t>race</t>
  </si>
  <si>
    <t>gender</t>
  </si>
  <si>
    <t>age</t>
  </si>
  <si>
    <t>payer_code</t>
  </si>
  <si>
    <t>outpatient_visits_in_previous_year</t>
  </si>
  <si>
    <t>emergency_visits_in_previous_year</t>
  </si>
  <si>
    <t>inpatient_visits_in_previous_year</t>
  </si>
  <si>
    <t>admission_type</t>
  </si>
  <si>
    <t>average_pulse_bpm</t>
  </si>
  <si>
    <t>discharge_disposition</t>
  </si>
  <si>
    <t>admission_source</t>
  </si>
  <si>
    <t>length_of_stay_in_hospital</t>
  </si>
  <si>
    <t>number_lab_tests</t>
  </si>
  <si>
    <t>non_lab_procedures</t>
  </si>
  <si>
    <t>number_of_medications</t>
  </si>
  <si>
    <t>number_diagnoses</t>
  </si>
  <si>
    <t>glucose_test_result</t>
  </si>
  <si>
    <t>a1c_test_result</t>
  </si>
  <si>
    <t>change_in_meds_during_hospitalization</t>
  </si>
  <si>
    <t>prescribed_diabetes_meds</t>
  </si>
  <si>
    <t>medication</t>
  </si>
  <si>
    <t>Charlson_Cormobility_Index</t>
  </si>
  <si>
    <t>encounter_count</t>
  </si>
  <si>
    <t>Point Biserial</t>
  </si>
  <si>
    <t>ANOVA</t>
  </si>
  <si>
    <t>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</si>
</sst>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8707-FB7C-5245-80EF-9740C6C5FCB5}">
  <dimension ref="A1:I24"/>
  <sheetViews>
    <sheetView tabSelected="1" workbookViewId="0">
      <selection activeCell="L10" sqref="L10"/>
    </sheetView>
  </sheetViews>
  <sheetFormatPr baseColWidth="10" defaultRowHeight="15.75"/>
  <cols>
    <col min="1" max="1" width="36.75" bestFit="1" customWidth="1"/>
    <col min="2" max="6" width="13.875" customWidth="1"/>
    <col min="7" max="9" width="7.625" customWidth="1"/>
    <col min="10" max="10" width="14.5" customWidth="1"/>
  </cols>
  <sheetData>
    <row r="1" spans="1:9">
      <c r="A1" s="2" t="s">
        <v>0</v>
      </c>
      <c r="B1" s="5" t="s">
        <v>1</v>
      </c>
      <c r="C1" s="5" t="s">
        <v>31</v>
      </c>
      <c r="D1" s="5" t="s">
        <v>33</v>
      </c>
      <c r="E1" s="5" t="s">
        <v>32</v>
      </c>
      <c r="F1" s="5" t="s">
        <v>4</v>
      </c>
      <c r="G1" s="5" t="s">
        <v>7</v>
      </c>
      <c r="H1" s="5" t="s">
        <v>5</v>
      </c>
      <c r="I1" s="5" t="s">
        <v>6</v>
      </c>
    </row>
    <row r="2" spans="1:9">
      <c r="A2" s="1" t="s">
        <v>8</v>
      </c>
      <c r="B2" s="3" t="s">
        <v>2</v>
      </c>
      <c r="C2" s="3" t="s">
        <v>2</v>
      </c>
      <c r="D2" s="3" t="s">
        <v>2</v>
      </c>
      <c r="E2" s="3" t="s">
        <v>3</v>
      </c>
      <c r="F2" s="3" t="s">
        <v>2</v>
      </c>
      <c r="G2" s="3">
        <f>COUNTIF(B2:F2,"True")</f>
        <v>4</v>
      </c>
      <c r="H2" s="4">
        <f>G2/5</f>
        <v>0.8</v>
      </c>
      <c r="I2" s="3" t="str">
        <f>IF(H2&gt;0.6, "Keep", "Drop")</f>
        <v>Keep</v>
      </c>
    </row>
    <row r="3" spans="1:9">
      <c r="A3" s="1" t="s">
        <v>9</v>
      </c>
      <c r="B3" s="3" t="s">
        <v>2</v>
      </c>
      <c r="C3" s="3" t="s">
        <v>2</v>
      </c>
      <c r="D3" s="3" t="s">
        <v>2</v>
      </c>
      <c r="E3" s="3" t="s">
        <v>3</v>
      </c>
      <c r="F3" s="3" t="s">
        <v>2</v>
      </c>
      <c r="G3" s="3">
        <f t="shared" ref="G3:G23" si="0">COUNTIF(B3:F3,"True")</f>
        <v>4</v>
      </c>
      <c r="H3" s="4">
        <f t="shared" ref="H3:H24" si="1">G3/5</f>
        <v>0.8</v>
      </c>
      <c r="I3" s="3" t="str">
        <f t="shared" ref="I3:I23" si="2">IF(H3&gt;0.6, "Keep", "Drop")</f>
        <v>Keep</v>
      </c>
    </row>
    <row r="4" spans="1:9">
      <c r="A4" s="1" t="s">
        <v>10</v>
      </c>
      <c r="B4" s="3" t="s">
        <v>2</v>
      </c>
      <c r="C4" s="3" t="s">
        <v>2</v>
      </c>
      <c r="D4" s="3" t="s">
        <v>2</v>
      </c>
      <c r="E4" s="3" t="s">
        <v>3</v>
      </c>
      <c r="F4" s="3" t="s">
        <v>2</v>
      </c>
      <c r="G4" s="3">
        <f t="shared" si="0"/>
        <v>4</v>
      </c>
      <c r="H4" s="4">
        <f t="shared" si="1"/>
        <v>0.8</v>
      </c>
      <c r="I4" s="3" t="str">
        <f t="shared" si="2"/>
        <v>Keep</v>
      </c>
    </row>
    <row r="5" spans="1:9">
      <c r="A5" s="1" t="s">
        <v>11</v>
      </c>
      <c r="B5" s="3" t="s">
        <v>2</v>
      </c>
      <c r="C5" s="3" t="s">
        <v>2</v>
      </c>
      <c r="D5" s="3" t="s">
        <v>2</v>
      </c>
      <c r="E5" s="3" t="s">
        <v>3</v>
      </c>
      <c r="F5" s="3" t="s">
        <v>2</v>
      </c>
      <c r="G5" s="3">
        <f t="shared" si="0"/>
        <v>4</v>
      </c>
      <c r="H5" s="4">
        <f t="shared" si="1"/>
        <v>0.8</v>
      </c>
      <c r="I5" s="3" t="str">
        <f t="shared" si="2"/>
        <v>Keep</v>
      </c>
    </row>
    <row r="6" spans="1:9">
      <c r="A6" s="1" t="s">
        <v>12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>
        <f t="shared" si="0"/>
        <v>5</v>
      </c>
      <c r="H6" s="4">
        <f t="shared" si="1"/>
        <v>1</v>
      </c>
      <c r="I6" s="3" t="str">
        <f t="shared" si="2"/>
        <v>Keep</v>
      </c>
    </row>
    <row r="7" spans="1:9">
      <c r="A7" s="1" t="s">
        <v>13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>
        <f t="shared" si="0"/>
        <v>5</v>
      </c>
      <c r="H7" s="4">
        <f t="shared" si="1"/>
        <v>1</v>
      </c>
      <c r="I7" s="3" t="str">
        <f t="shared" si="2"/>
        <v>Keep</v>
      </c>
    </row>
    <row r="8" spans="1:9">
      <c r="A8" s="1" t="s">
        <v>14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>
        <f t="shared" si="0"/>
        <v>5</v>
      </c>
      <c r="H8" s="4">
        <f t="shared" si="1"/>
        <v>1</v>
      </c>
      <c r="I8" s="3" t="str">
        <f t="shared" si="2"/>
        <v>Keep</v>
      </c>
    </row>
    <row r="9" spans="1:9">
      <c r="A9" s="1" t="s">
        <v>15</v>
      </c>
      <c r="B9" s="3" t="s">
        <v>2</v>
      </c>
      <c r="C9" s="3" t="s">
        <v>2</v>
      </c>
      <c r="D9" s="3" t="s">
        <v>2</v>
      </c>
      <c r="E9" s="3" t="s">
        <v>3</v>
      </c>
      <c r="F9" s="3" t="s">
        <v>2</v>
      </c>
      <c r="G9" s="3">
        <f t="shared" si="0"/>
        <v>4</v>
      </c>
      <c r="H9" s="4">
        <f t="shared" si="1"/>
        <v>0.8</v>
      </c>
      <c r="I9" s="3" t="str">
        <f t="shared" si="2"/>
        <v>Keep</v>
      </c>
    </row>
    <row r="10" spans="1:9">
      <c r="A10" s="1" t="s">
        <v>16</v>
      </c>
      <c r="B10" s="3" t="s">
        <v>2</v>
      </c>
      <c r="C10" s="3" t="s">
        <v>2</v>
      </c>
      <c r="D10" s="3" t="s">
        <v>3</v>
      </c>
      <c r="E10" s="3" t="s">
        <v>3</v>
      </c>
      <c r="F10" s="3" t="s">
        <v>2</v>
      </c>
      <c r="G10" s="3">
        <f t="shared" si="0"/>
        <v>3</v>
      </c>
      <c r="H10" s="4">
        <f t="shared" si="1"/>
        <v>0.6</v>
      </c>
      <c r="I10" s="3" t="str">
        <f t="shared" si="2"/>
        <v>Drop</v>
      </c>
    </row>
    <row r="11" spans="1:9">
      <c r="A11" s="1" t="s">
        <v>17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>
        <f t="shared" si="0"/>
        <v>5</v>
      </c>
      <c r="H11" s="4">
        <f t="shared" si="1"/>
        <v>1</v>
      </c>
      <c r="I11" s="3" t="str">
        <f t="shared" si="2"/>
        <v>Keep</v>
      </c>
    </row>
    <row r="12" spans="1:9">
      <c r="A12" s="1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>
        <f t="shared" si="0"/>
        <v>5</v>
      </c>
      <c r="H12" s="4">
        <f t="shared" si="1"/>
        <v>1</v>
      </c>
      <c r="I12" s="3" t="str">
        <f t="shared" si="2"/>
        <v>Keep</v>
      </c>
    </row>
    <row r="13" spans="1:9">
      <c r="A13" s="1" t="s">
        <v>19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>
        <f t="shared" si="0"/>
        <v>5</v>
      </c>
      <c r="H13" s="4">
        <f t="shared" si="1"/>
        <v>1</v>
      </c>
      <c r="I13" s="3" t="str">
        <f t="shared" si="2"/>
        <v>Keep</v>
      </c>
    </row>
    <row r="14" spans="1:9">
      <c r="A14" s="1" t="s">
        <v>20</v>
      </c>
      <c r="B14" s="3" t="s">
        <v>2</v>
      </c>
      <c r="C14" s="3" t="s">
        <v>2</v>
      </c>
      <c r="D14" s="3" t="s">
        <v>3</v>
      </c>
      <c r="E14" s="3" t="s">
        <v>3</v>
      </c>
      <c r="F14" s="3" t="s">
        <v>2</v>
      </c>
      <c r="G14" s="3">
        <f t="shared" si="0"/>
        <v>3</v>
      </c>
      <c r="H14" s="4">
        <f t="shared" si="1"/>
        <v>0.6</v>
      </c>
      <c r="I14" s="3" t="str">
        <f t="shared" si="2"/>
        <v>Drop</v>
      </c>
    </row>
    <row r="15" spans="1:9">
      <c r="A15" s="1" t="s">
        <v>21</v>
      </c>
      <c r="B15" s="3" t="s">
        <v>2</v>
      </c>
      <c r="C15" s="3" t="s">
        <v>2</v>
      </c>
      <c r="D15" s="3" t="s">
        <v>3</v>
      </c>
      <c r="E15" s="3" t="s">
        <v>3</v>
      </c>
      <c r="F15" s="3" t="s">
        <v>2</v>
      </c>
      <c r="G15" s="3">
        <f t="shared" si="0"/>
        <v>3</v>
      </c>
      <c r="H15" s="4">
        <f t="shared" si="1"/>
        <v>0.6</v>
      </c>
      <c r="I15" s="3" t="str">
        <f t="shared" si="2"/>
        <v>Drop</v>
      </c>
    </row>
    <row r="16" spans="1:9">
      <c r="A16" s="1" t="s">
        <v>22</v>
      </c>
      <c r="B16" s="3" t="s">
        <v>2</v>
      </c>
      <c r="C16" s="3" t="s">
        <v>2</v>
      </c>
      <c r="D16" s="3" t="s">
        <v>3</v>
      </c>
      <c r="E16" s="3" t="s">
        <v>2</v>
      </c>
      <c r="F16" s="3" t="s">
        <v>2</v>
      </c>
      <c r="G16" s="3">
        <f t="shared" si="0"/>
        <v>4</v>
      </c>
      <c r="H16" s="4">
        <f t="shared" si="1"/>
        <v>0.8</v>
      </c>
      <c r="I16" s="3" t="str">
        <f t="shared" si="2"/>
        <v>Keep</v>
      </c>
    </row>
    <row r="17" spans="1:9">
      <c r="A17" s="1" t="s">
        <v>23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>
        <f t="shared" si="0"/>
        <v>5</v>
      </c>
      <c r="H17" s="4">
        <f t="shared" si="1"/>
        <v>1</v>
      </c>
      <c r="I17" s="3" t="str">
        <f t="shared" si="2"/>
        <v>Keep</v>
      </c>
    </row>
    <row r="18" spans="1:9">
      <c r="A18" s="1" t="s">
        <v>24</v>
      </c>
      <c r="B18" s="3" t="s">
        <v>3</v>
      </c>
      <c r="C18" s="3" t="s">
        <v>2</v>
      </c>
      <c r="D18" s="3" t="s">
        <v>3</v>
      </c>
      <c r="E18" s="3" t="s">
        <v>3</v>
      </c>
      <c r="F18" s="3" t="s">
        <v>3</v>
      </c>
      <c r="G18" s="3">
        <f t="shared" si="0"/>
        <v>1</v>
      </c>
      <c r="H18" s="4">
        <f t="shared" si="1"/>
        <v>0.2</v>
      </c>
      <c r="I18" s="3" t="str">
        <f t="shared" si="2"/>
        <v>Drop</v>
      </c>
    </row>
    <row r="19" spans="1:9">
      <c r="A19" s="1" t="s">
        <v>25</v>
      </c>
      <c r="B19" s="3" t="s">
        <v>3</v>
      </c>
      <c r="C19" s="3" t="s">
        <v>2</v>
      </c>
      <c r="D19" s="3" t="s">
        <v>3</v>
      </c>
      <c r="E19" s="3" t="s">
        <v>3</v>
      </c>
      <c r="F19" s="3" t="s">
        <v>2</v>
      </c>
      <c r="G19" s="3">
        <f t="shared" si="0"/>
        <v>2</v>
      </c>
      <c r="H19" s="4">
        <f t="shared" si="1"/>
        <v>0.4</v>
      </c>
      <c r="I19" s="3" t="str">
        <f t="shared" si="2"/>
        <v>Drop</v>
      </c>
    </row>
    <row r="20" spans="1:9">
      <c r="A20" s="1" t="s">
        <v>26</v>
      </c>
      <c r="B20" s="3" t="s">
        <v>2</v>
      </c>
      <c r="C20" s="3" t="s">
        <v>2</v>
      </c>
      <c r="D20" s="3" t="s">
        <v>2</v>
      </c>
      <c r="E20" s="3" t="s">
        <v>3</v>
      </c>
      <c r="F20" s="3" t="s">
        <v>2</v>
      </c>
      <c r="G20" s="3">
        <f t="shared" si="0"/>
        <v>4</v>
      </c>
      <c r="H20" s="4">
        <f t="shared" si="1"/>
        <v>0.8</v>
      </c>
      <c r="I20" s="3" t="str">
        <f t="shared" si="2"/>
        <v>Keep</v>
      </c>
    </row>
    <row r="21" spans="1:9">
      <c r="A21" s="1" t="s">
        <v>27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3</v>
      </c>
      <c r="G21" s="3">
        <f t="shared" si="0"/>
        <v>4</v>
      </c>
      <c r="H21" s="4">
        <f t="shared" si="1"/>
        <v>0.8</v>
      </c>
      <c r="I21" s="3" t="str">
        <f t="shared" si="2"/>
        <v>Keep</v>
      </c>
    </row>
    <row r="22" spans="1:9">
      <c r="A22" s="1" t="s">
        <v>28</v>
      </c>
      <c r="B22" s="3" t="s">
        <v>2</v>
      </c>
      <c r="C22" s="3" t="s">
        <v>3</v>
      </c>
      <c r="D22" s="3" t="s">
        <v>2</v>
      </c>
      <c r="E22" s="3" t="s">
        <v>2</v>
      </c>
      <c r="F22" s="3" t="s">
        <v>2</v>
      </c>
      <c r="G22" s="3">
        <f t="shared" si="0"/>
        <v>4</v>
      </c>
      <c r="H22" s="4">
        <f t="shared" si="1"/>
        <v>0.8</v>
      </c>
      <c r="I22" s="3" t="str">
        <f t="shared" si="2"/>
        <v>Keep</v>
      </c>
    </row>
    <row r="23" spans="1:9">
      <c r="A23" s="1" t="s">
        <v>29</v>
      </c>
      <c r="B23" s="3" t="s">
        <v>2</v>
      </c>
      <c r="C23" s="3" t="s">
        <v>2</v>
      </c>
      <c r="D23" s="3" t="s">
        <v>2</v>
      </c>
      <c r="E23" s="3" t="s">
        <v>2</v>
      </c>
      <c r="F23" s="3" t="s">
        <v>2</v>
      </c>
      <c r="G23" s="3">
        <f t="shared" si="0"/>
        <v>5</v>
      </c>
      <c r="H23" s="4">
        <f t="shared" si="1"/>
        <v>1</v>
      </c>
      <c r="I23" s="3" t="str">
        <f t="shared" si="2"/>
        <v>Keep</v>
      </c>
    </row>
    <row r="24" spans="1:9">
      <c r="A24" s="1" t="s">
        <v>30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>
        <f t="shared" ref="G24" si="3">COUNTIF(B24:F24,"True")</f>
        <v>5</v>
      </c>
      <c r="H24" s="4">
        <f t="shared" si="1"/>
        <v>1</v>
      </c>
      <c r="I24" s="3" t="str">
        <f t="shared" ref="I24" si="4">IF(H24&gt;0.6, "Keep", "Drop")</f>
        <v>Keep</v>
      </c>
    </row>
  </sheetData>
  <conditionalFormatting sqref="B2:F24">
    <cfRule type="cellIs" dxfId="3" priority="2" operator="equal">
      <formula>"False"</formula>
    </cfRule>
  </conditionalFormatting>
  <conditionalFormatting sqref="I2:I24">
    <cfRule type="cellIs" dxfId="2" priority="1" operator="equal">
      <formula>"Drop"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998E-98BA-48B3-9609-4ABA28721C45}">
  <dimension ref="A1:I24"/>
  <sheetViews>
    <sheetView workbookViewId="0">
      <selection activeCell="E15" sqref="E15"/>
    </sheetView>
  </sheetViews>
  <sheetFormatPr baseColWidth="10" defaultRowHeight="15.75"/>
  <cols>
    <col min="1" max="1" width="36.75" bestFit="1" customWidth="1"/>
    <col min="2" max="6" width="13.875" customWidth="1"/>
    <col min="7" max="9" width="7.625" customWidth="1"/>
  </cols>
  <sheetData>
    <row r="1" spans="1:9">
      <c r="A1" s="2" t="s">
        <v>0</v>
      </c>
      <c r="B1" s="5" t="s">
        <v>1</v>
      </c>
      <c r="C1" s="5" t="s">
        <v>31</v>
      </c>
      <c r="D1" s="5" t="s">
        <v>33</v>
      </c>
      <c r="E1" s="5" t="s">
        <v>32</v>
      </c>
      <c r="F1" s="5" t="s">
        <v>4</v>
      </c>
      <c r="G1" s="5" t="s">
        <v>7</v>
      </c>
      <c r="H1" s="5" t="s">
        <v>5</v>
      </c>
      <c r="I1" s="5" t="s">
        <v>6</v>
      </c>
    </row>
    <row r="2" spans="1:9">
      <c r="A2" s="1" t="s">
        <v>8</v>
      </c>
      <c r="B2" s="3" t="s">
        <v>2</v>
      </c>
      <c r="C2" s="3" t="s">
        <v>2</v>
      </c>
      <c r="D2" s="3" t="s">
        <v>2</v>
      </c>
      <c r="E2" s="3" t="s">
        <v>3</v>
      </c>
      <c r="F2" s="3" t="s">
        <v>2</v>
      </c>
      <c r="G2" s="3">
        <f t="shared" ref="G2:G24" si="0">COUNTIF(B2:F2, "True")</f>
        <v>4</v>
      </c>
      <c r="H2" s="4">
        <f>G2/5</f>
        <v>0.8</v>
      </c>
      <c r="I2" s="3" t="str">
        <f>IF(H2&gt;0.6, "Keep", "Drop")</f>
        <v>Keep</v>
      </c>
    </row>
    <row r="3" spans="1:9">
      <c r="A3" s="1" t="s">
        <v>9</v>
      </c>
      <c r="B3" s="3" t="s">
        <v>3</v>
      </c>
      <c r="C3" s="3" t="s">
        <v>2</v>
      </c>
      <c r="D3" s="3" t="s">
        <v>2</v>
      </c>
      <c r="E3" s="3" t="s">
        <v>3</v>
      </c>
      <c r="F3" s="3" t="s">
        <v>2</v>
      </c>
      <c r="G3" s="3">
        <f t="shared" si="0"/>
        <v>3</v>
      </c>
      <c r="H3" s="4">
        <f t="shared" ref="H3:H24" si="1">G3/5</f>
        <v>0.6</v>
      </c>
      <c r="I3" s="3" t="str">
        <f t="shared" ref="I3:I24" si="2">IF(H3&gt;0.6, "Keep", "Drop")</f>
        <v>Drop</v>
      </c>
    </row>
    <row r="4" spans="1:9">
      <c r="A4" s="1" t="s">
        <v>10</v>
      </c>
      <c r="B4" s="3" t="s">
        <v>2</v>
      </c>
      <c r="C4" s="3" t="s">
        <v>2</v>
      </c>
      <c r="D4" s="3" t="s">
        <v>3</v>
      </c>
      <c r="E4" s="3" t="s">
        <v>3</v>
      </c>
      <c r="F4" s="3" t="s">
        <v>2</v>
      </c>
      <c r="G4" s="3">
        <f t="shared" si="0"/>
        <v>3</v>
      </c>
      <c r="H4" s="4">
        <f t="shared" si="1"/>
        <v>0.6</v>
      </c>
      <c r="I4" s="3" t="str">
        <f t="shared" si="2"/>
        <v>Drop</v>
      </c>
    </row>
    <row r="5" spans="1:9">
      <c r="A5" s="1" t="s">
        <v>11</v>
      </c>
      <c r="B5" s="3" t="s">
        <v>2</v>
      </c>
      <c r="C5" s="3" t="s">
        <v>2</v>
      </c>
      <c r="D5" s="3" t="s">
        <v>2</v>
      </c>
      <c r="E5" s="3" t="s">
        <v>3</v>
      </c>
      <c r="F5" s="3" t="s">
        <v>2</v>
      </c>
      <c r="G5" s="3">
        <f t="shared" si="0"/>
        <v>4</v>
      </c>
      <c r="H5" s="4">
        <f t="shared" si="1"/>
        <v>0.8</v>
      </c>
      <c r="I5" s="3" t="str">
        <f t="shared" si="2"/>
        <v>Keep</v>
      </c>
    </row>
    <row r="6" spans="1:9">
      <c r="A6" s="1" t="s">
        <v>12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>
        <f t="shared" si="0"/>
        <v>5</v>
      </c>
      <c r="H6" s="4">
        <f t="shared" si="1"/>
        <v>1</v>
      </c>
      <c r="I6" s="3" t="str">
        <f t="shared" si="2"/>
        <v>Keep</v>
      </c>
    </row>
    <row r="7" spans="1:9">
      <c r="A7" s="1" t="s">
        <v>13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>
        <f t="shared" si="0"/>
        <v>5</v>
      </c>
      <c r="H7" s="4">
        <f t="shared" si="1"/>
        <v>1</v>
      </c>
      <c r="I7" s="3" t="str">
        <f t="shared" si="2"/>
        <v>Keep</v>
      </c>
    </row>
    <row r="8" spans="1:9">
      <c r="A8" s="1" t="s">
        <v>14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>
        <f t="shared" si="0"/>
        <v>5</v>
      </c>
      <c r="H8" s="4">
        <f t="shared" si="1"/>
        <v>1</v>
      </c>
      <c r="I8" s="3" t="str">
        <f t="shared" si="2"/>
        <v>Keep</v>
      </c>
    </row>
    <row r="9" spans="1:9">
      <c r="A9" s="1" t="s">
        <v>15</v>
      </c>
      <c r="B9" s="3" t="s">
        <v>2</v>
      </c>
      <c r="C9" s="3" t="s">
        <v>2</v>
      </c>
      <c r="D9" s="3" t="s">
        <v>3</v>
      </c>
      <c r="E9" s="3" t="s">
        <v>2</v>
      </c>
      <c r="F9" s="3" t="s">
        <v>2</v>
      </c>
      <c r="G9" s="3">
        <f t="shared" si="0"/>
        <v>4</v>
      </c>
      <c r="H9" s="4">
        <f t="shared" si="1"/>
        <v>0.8</v>
      </c>
      <c r="I9" s="3" t="str">
        <f t="shared" si="2"/>
        <v>Keep</v>
      </c>
    </row>
    <row r="10" spans="1:9">
      <c r="A10" s="1" t="s">
        <v>16</v>
      </c>
      <c r="B10" s="3" t="s">
        <v>2</v>
      </c>
      <c r="C10" s="3" t="s">
        <v>2</v>
      </c>
      <c r="D10" s="3" t="s">
        <v>2</v>
      </c>
      <c r="E10" s="3" t="s">
        <v>3</v>
      </c>
      <c r="F10" s="3" t="s">
        <v>2</v>
      </c>
      <c r="G10" s="3">
        <f t="shared" si="0"/>
        <v>4</v>
      </c>
      <c r="H10" s="4">
        <f t="shared" si="1"/>
        <v>0.8</v>
      </c>
      <c r="I10" s="3" t="str">
        <f t="shared" si="2"/>
        <v>Keep</v>
      </c>
    </row>
    <row r="11" spans="1:9">
      <c r="A11" s="1" t="s">
        <v>17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>
        <f t="shared" si="0"/>
        <v>5</v>
      </c>
      <c r="H11" s="4">
        <f t="shared" si="1"/>
        <v>1</v>
      </c>
      <c r="I11" s="3" t="str">
        <f t="shared" si="2"/>
        <v>Keep</v>
      </c>
    </row>
    <row r="12" spans="1:9">
      <c r="A12" s="1" t="s">
        <v>18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>
        <f t="shared" si="0"/>
        <v>5</v>
      </c>
      <c r="H12" s="4">
        <f t="shared" si="1"/>
        <v>1</v>
      </c>
      <c r="I12" s="3" t="str">
        <f t="shared" si="2"/>
        <v>Keep</v>
      </c>
    </row>
    <row r="13" spans="1:9">
      <c r="A13" s="1" t="s">
        <v>19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>
        <f t="shared" si="0"/>
        <v>5</v>
      </c>
      <c r="H13" s="4">
        <f t="shared" si="1"/>
        <v>1</v>
      </c>
      <c r="I13" s="3" t="str">
        <f t="shared" si="2"/>
        <v>Keep</v>
      </c>
    </row>
    <row r="14" spans="1:9">
      <c r="A14" s="1" t="s">
        <v>20</v>
      </c>
      <c r="B14" s="3" t="s">
        <v>2</v>
      </c>
      <c r="C14" s="3" t="s">
        <v>2</v>
      </c>
      <c r="D14" s="3" t="s">
        <v>2</v>
      </c>
      <c r="E14" s="3" t="s">
        <v>3</v>
      </c>
      <c r="F14" s="3" t="s">
        <v>2</v>
      </c>
      <c r="G14" s="3">
        <f t="shared" si="0"/>
        <v>4</v>
      </c>
      <c r="H14" s="4">
        <f t="shared" si="1"/>
        <v>0.8</v>
      </c>
      <c r="I14" s="3" t="str">
        <f t="shared" si="2"/>
        <v>Keep</v>
      </c>
    </row>
    <row r="15" spans="1:9">
      <c r="A15" s="1" t="s">
        <v>21</v>
      </c>
      <c r="B15" s="3" t="s">
        <v>2</v>
      </c>
      <c r="C15" s="3" t="s">
        <v>2</v>
      </c>
      <c r="D15" s="3" t="s">
        <v>3</v>
      </c>
      <c r="E15" s="3" t="s">
        <v>3</v>
      </c>
      <c r="F15" s="3" t="s">
        <v>2</v>
      </c>
      <c r="G15" s="3">
        <f t="shared" si="0"/>
        <v>3</v>
      </c>
      <c r="H15" s="4">
        <f t="shared" si="1"/>
        <v>0.6</v>
      </c>
      <c r="I15" s="3" t="str">
        <f t="shared" si="2"/>
        <v>Drop</v>
      </c>
    </row>
    <row r="16" spans="1:9">
      <c r="A16" s="1" t="s">
        <v>22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>
        <f t="shared" si="0"/>
        <v>5</v>
      </c>
      <c r="H16" s="4">
        <f t="shared" si="1"/>
        <v>1</v>
      </c>
      <c r="I16" s="3" t="str">
        <f t="shared" si="2"/>
        <v>Keep</v>
      </c>
    </row>
    <row r="17" spans="1:9">
      <c r="A17" s="1" t="s">
        <v>23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>
        <f t="shared" si="0"/>
        <v>5</v>
      </c>
      <c r="H17" s="4">
        <f t="shared" si="1"/>
        <v>1</v>
      </c>
      <c r="I17" s="3" t="str">
        <f t="shared" si="2"/>
        <v>Keep</v>
      </c>
    </row>
    <row r="18" spans="1:9">
      <c r="A18" s="1" t="s">
        <v>24</v>
      </c>
      <c r="B18" s="3" t="s">
        <v>3</v>
      </c>
      <c r="C18" s="3" t="s">
        <v>2</v>
      </c>
      <c r="D18" s="3" t="s">
        <v>3</v>
      </c>
      <c r="E18" s="3" t="s">
        <v>3</v>
      </c>
      <c r="F18" s="3" t="s">
        <v>3</v>
      </c>
      <c r="G18" s="3">
        <f t="shared" si="0"/>
        <v>1</v>
      </c>
      <c r="H18" s="4">
        <f t="shared" si="1"/>
        <v>0.2</v>
      </c>
      <c r="I18" s="3" t="str">
        <f t="shared" si="2"/>
        <v>Drop</v>
      </c>
    </row>
    <row r="19" spans="1:9">
      <c r="A19" s="1" t="s">
        <v>25</v>
      </c>
      <c r="B19" s="3" t="s">
        <v>3</v>
      </c>
      <c r="C19" s="3" t="s">
        <v>2</v>
      </c>
      <c r="D19" s="3" t="s">
        <v>3</v>
      </c>
      <c r="E19" s="3" t="s">
        <v>3</v>
      </c>
      <c r="F19" s="3" t="s">
        <v>2</v>
      </c>
      <c r="G19" s="3">
        <f t="shared" si="0"/>
        <v>2</v>
      </c>
      <c r="H19" s="4">
        <f t="shared" si="1"/>
        <v>0.4</v>
      </c>
      <c r="I19" s="3" t="str">
        <f t="shared" si="2"/>
        <v>Drop</v>
      </c>
    </row>
    <row r="20" spans="1:9">
      <c r="A20" s="1" t="s">
        <v>26</v>
      </c>
      <c r="B20" s="3" t="s">
        <v>2</v>
      </c>
      <c r="C20" s="3" t="s">
        <v>2</v>
      </c>
      <c r="D20" s="3" t="s">
        <v>3</v>
      </c>
      <c r="E20" s="3" t="s">
        <v>2</v>
      </c>
      <c r="F20" s="3" t="s">
        <v>2</v>
      </c>
      <c r="G20" s="3">
        <f t="shared" si="0"/>
        <v>4</v>
      </c>
      <c r="H20" s="4">
        <f t="shared" si="1"/>
        <v>0.8</v>
      </c>
      <c r="I20" s="3" t="str">
        <f t="shared" si="2"/>
        <v>Keep</v>
      </c>
    </row>
    <row r="21" spans="1:9">
      <c r="A21" s="1" t="s">
        <v>27</v>
      </c>
      <c r="B21" s="3" t="s">
        <v>2</v>
      </c>
      <c r="C21" s="3" t="s">
        <v>2</v>
      </c>
      <c r="D21" s="3" t="s">
        <v>3</v>
      </c>
      <c r="E21" s="3" t="s">
        <v>2</v>
      </c>
      <c r="F21" s="3" t="s">
        <v>3</v>
      </c>
      <c r="G21" s="3">
        <f t="shared" si="0"/>
        <v>3</v>
      </c>
      <c r="H21" s="4">
        <f t="shared" si="1"/>
        <v>0.6</v>
      </c>
      <c r="I21" s="3" t="str">
        <f t="shared" si="2"/>
        <v>Drop</v>
      </c>
    </row>
    <row r="22" spans="1:9">
      <c r="A22" s="1" t="s">
        <v>28</v>
      </c>
      <c r="B22" s="3" t="s">
        <v>2</v>
      </c>
      <c r="C22" s="3" t="s">
        <v>3</v>
      </c>
      <c r="D22" s="3" t="s">
        <v>2</v>
      </c>
      <c r="E22" s="3" t="s">
        <v>2</v>
      </c>
      <c r="F22" s="3" t="s">
        <v>2</v>
      </c>
      <c r="G22" s="3">
        <f t="shared" si="0"/>
        <v>4</v>
      </c>
      <c r="H22" s="4">
        <f t="shared" si="1"/>
        <v>0.8</v>
      </c>
      <c r="I22" s="3" t="str">
        <f t="shared" si="2"/>
        <v>Keep</v>
      </c>
    </row>
    <row r="23" spans="1:9">
      <c r="A23" s="1" t="s">
        <v>29</v>
      </c>
      <c r="B23" s="3" t="s">
        <v>2</v>
      </c>
      <c r="C23" s="3" t="s">
        <v>2</v>
      </c>
      <c r="D23" s="3" t="s">
        <v>2</v>
      </c>
      <c r="E23" s="3" t="s">
        <v>3</v>
      </c>
      <c r="F23" s="3" t="s">
        <v>2</v>
      </c>
      <c r="G23" s="3">
        <f t="shared" si="0"/>
        <v>4</v>
      </c>
      <c r="H23" s="4">
        <f t="shared" si="1"/>
        <v>0.8</v>
      </c>
      <c r="I23" s="3" t="str">
        <f t="shared" si="2"/>
        <v>Keep</v>
      </c>
    </row>
    <row r="24" spans="1:9">
      <c r="A24" s="1" t="s">
        <v>30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>
        <f t="shared" si="0"/>
        <v>5</v>
      </c>
      <c r="H24" s="4">
        <f t="shared" si="1"/>
        <v>1</v>
      </c>
      <c r="I24" s="3" t="str">
        <f t="shared" si="2"/>
        <v>Keep</v>
      </c>
    </row>
  </sheetData>
  <conditionalFormatting sqref="B2:F24">
    <cfRule type="cellIs" dxfId="1" priority="2" operator="equal">
      <formula>"False"</formula>
    </cfRule>
  </conditionalFormatting>
  <conditionalFormatting sqref="I3:I24">
    <cfRule type="cellIs" dxfId="0" priority="3" operator="equal">
      <formula>"Drop"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FS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Ines Pomar Monteiro</dc:creator>
  <cp:lastModifiedBy>Ignacio Javier Neira Rodriguez</cp:lastModifiedBy>
  <dcterms:created xsi:type="dcterms:W3CDTF">2023-11-26T20:12:35Z</dcterms:created>
  <dcterms:modified xsi:type="dcterms:W3CDTF">2023-12-20T00:02:23Z</dcterms:modified>
</cp:coreProperties>
</file>